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hid\Documents\Github Portfolio\LFR\ByteBot_LFR_V1.0\BOM &amp; CPL\"/>
    </mc:Choice>
  </mc:AlternateContent>
  <xr:revisionPtr revIDLastSave="0" documentId="13_ncr:1_{5BF2AE33-0A24-4905-AD12-BC136D306E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-1 by ByteBo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/>
  <c r="E12" i="1"/>
  <c r="E9" i="1"/>
  <c r="E6" i="1"/>
</calcChain>
</file>

<file path=xl/sharedStrings.xml><?xml version="1.0" encoding="utf-8"?>
<sst xmlns="http://schemas.openxmlformats.org/spreadsheetml/2006/main" count="41" uniqueCount="36">
  <si>
    <t>Quantity</t>
  </si>
  <si>
    <t>Supplier</t>
  </si>
  <si>
    <t>Price</t>
  </si>
  <si>
    <t>PCBA</t>
  </si>
  <si>
    <t>JLCPCB</t>
  </si>
  <si>
    <t>Battery</t>
  </si>
  <si>
    <t>soldering iron</t>
  </si>
  <si>
    <t>solderflux</t>
  </si>
  <si>
    <t>Link</t>
  </si>
  <si>
    <t>Spektrum 7.4V 300mAh 2S</t>
  </si>
  <si>
    <t>Model no.</t>
  </si>
  <si>
    <t>Amazon.com: Soldering Iron Kit, 100W LED Digital Solder Gun kits with Ceramic Heater, Adjustable Temperature Welding Tools with Tips, Wick Braid, Stand, Solders Wire, Sponge, Flux Paste : Tools &amp; Home Improvement</t>
  </si>
  <si>
    <t>Amazon.com: Spektrum 7.4V 300mAh 2S 50C LiPo Battery: JST-RCY, SPMX3002S50 : Toys &amp; Games</t>
  </si>
  <si>
    <t>TOWOT 63-37 High Purity Tin Lead Rosin Core Solder Wire for Electrical Soldering, Content 1.8% Solder flux (0.3mm, 50g) - Amazon.com</t>
  </si>
  <si>
    <t>TOWOT 63-37 High Purity Tin Lead Rosin Core Solder Wire</t>
  </si>
  <si>
    <t>100W amazon</t>
  </si>
  <si>
    <t>wheel</t>
  </si>
  <si>
    <t>qtr sensor</t>
  </si>
  <si>
    <t>solarbotics 2wi</t>
  </si>
  <si>
    <t>Pololu - Solarbotics RW2i Wheel (internal set screw)</t>
  </si>
  <si>
    <t>amazon</t>
  </si>
  <si>
    <t>polulu</t>
  </si>
  <si>
    <t>Pololu Micro Metal Gearmotor Bracket Pair - Black</t>
  </si>
  <si>
    <t>motor bracket</t>
  </si>
  <si>
    <t>motor</t>
  </si>
  <si>
    <t>total=</t>
  </si>
  <si>
    <t>Pololu - 10:1 Micro Metal Gearmotor HPCB 6V</t>
  </si>
  <si>
    <t>1:10 3300rpm HPCB</t>
  </si>
  <si>
    <t>Ship to bd direct</t>
  </si>
  <si>
    <t>micro metal gear motor bracket pair</t>
  </si>
  <si>
    <t>Discount</t>
  </si>
  <si>
    <t>https://trade.jlcpcb.com/checkout/proxyPayPreCheck?systemType=order_pcb&amp;calType=PROXY_PAY&amp;batchNum=W202503231538702&amp;bizKey=426621397095112706</t>
  </si>
  <si>
    <t>QTR-MD-08RC Reflectance Sensor Array</t>
  </si>
  <si>
    <t>https://www.pololu.com/product/4148</t>
  </si>
  <si>
    <t>own design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</si>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</sst>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6"/>
      <name val="Calibri"/>
      <family val="2"/>
      <scheme val="minor"/>
    </font>
    <font>
      <u/>
      <sz val="11"/>
      <color theme="6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19" fillId="0" borderId="0" xfId="0" applyFont="1"/>
    <xf numFmtId="0" fontId="2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amazon.com/dp/B09KM213N7/ref=twister_B09KM3HWH6?_encoding=UTF8&amp;th=1" TargetMode="External"/><Relationship Id="rId7" Type="http://schemas.openxmlformats.org/officeDocument/2006/relationships/hyperlink" Target="https://www.pololu.com/product/3061" TargetMode="External"/><Relationship Id="rId2" Type="http://schemas.openxmlformats.org/officeDocument/2006/relationships/hyperlink" Target="https://www.amazon.com/Spektrum-7-4V-300mAh-LiPo-Battery/dp/B0BMFCN7LD/ref=sr_1_55?dib=eyJ2IjoiMSJ9.wzwfGOav2nVI91ccZl7OYcXuXj5Smi1pyHvz8MnEKTZ9i3wTqEBs8eILT9nwq6ENXuUFfiHC3NR4GzKrWZKNDn2YFT1GOJngdxAhUQVP36ZmWMpASlHSShcEF6om4UYc1A77I5Od4scneMemwc5Q7piO5o904nBnSYPnXp5sllmK90l0Z8qhOSYBcrC36MMKfBvg6xPjo1SzN9_ayTyPKAF-JF8dw3SUcm5AlP098XJCQ6lXvSg-kTyhctbc_YtUyZY4NIhVBm0UHuzP0qV-9KIycp-2UfiQ2qPuzQBWwjYV7ewJW2cHAmD6OjKNtzKrRkvC3EkMomIcEg-z-RU6eF-CKgT1zauTDpi5jNGeb0pEI9UUOUbPUmCmcVStcna8lhLiO7oIKxOVe81o1gWduYlHCpAaxtXdjNHLbujBXSE0IcuG8fXP-dL8K9zxNabL.2IexPEltABSEhd3UQSkn-n87hF9K3wfqKcLG_K9WDeA&amp;dib_tag=se&amp;keywords=2s+battery&amp;qid=1740303914&amp;sr=8-55" TargetMode="External"/><Relationship Id="rId1" Type="http://schemas.openxmlformats.org/officeDocument/2006/relationships/hyperlink" Target="https://www.amazon.com/dp/B0C2Z1WNRV?ref=cm_sw_r_apin_dp_GRAB0R80YQJ3M09K9SNG_2&amp;ref_=cm_sw_r_apin_dp_GRAB0R80YQJ3M09K9SNG_2&amp;social_share=cm_sw_r_apin_dp_GRAB0R80YQJ3M09K9SNG_2&amp;starsLeft=1&amp;th=1" TargetMode="External"/><Relationship Id="rId6" Type="http://schemas.openxmlformats.org/officeDocument/2006/relationships/hyperlink" Target="https://www.pololu.com/product/989" TargetMode="External"/><Relationship Id="rId5" Type="http://schemas.openxmlformats.org/officeDocument/2006/relationships/hyperlink" Target="https://www.pololu.com/product/1127" TargetMode="External"/><Relationship Id="rId4" Type="http://schemas.openxmlformats.org/officeDocument/2006/relationships/hyperlink" Target="https://www.pololu.com/product/41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19" sqref="G19"/>
    </sheetView>
  </sheetViews>
  <sheetFormatPr defaultRowHeight="14.4" x14ac:dyDescent="0.3"/>
  <cols>
    <col min="1" max="1" width="21.109375" customWidth="1"/>
    <col min="2" max="2" width="9.21875" customWidth="1"/>
    <col min="3" max="3" width="32" customWidth="1"/>
    <col min="4" max="4" width="23.6640625" customWidth="1"/>
    <col min="5" max="5" width="22" customWidth="1"/>
    <col min="6" max="6" width="15.6640625" customWidth="1"/>
    <col min="7" max="7" width="19.33203125" customWidth="1"/>
    <col min="8" max="8" width="63.6640625" customWidth="1"/>
    <col min="10" max="10" width="14.88671875" customWidth="1"/>
  </cols>
  <sheetData>
    <row r="1" spans="1:8" x14ac:dyDescent="0.3">
      <c r="A1" t="s">
        <v>35</v>
      </c>
      <c r="B1" t="s">
        <v>0</v>
      </c>
      <c r="C1" t="s">
        <v>10</v>
      </c>
      <c r="D1" t="s">
        <v>1</v>
      </c>
      <c r="E1" t="s">
        <v>2</v>
      </c>
      <c r="F1" t="s">
        <v>30</v>
      </c>
      <c r="G1" t="s">
        <v>28</v>
      </c>
      <c r="H1" t="s">
        <v>8</v>
      </c>
    </row>
    <row r="2" spans="1:8" x14ac:dyDescent="0.3">
      <c r="A2" t="s">
        <v>3</v>
      </c>
      <c r="B2">
        <v>1</v>
      </c>
      <c r="C2" t="s">
        <v>34</v>
      </c>
      <c r="D2" t="s">
        <v>4</v>
      </c>
      <c r="E2">
        <v>59.34</v>
      </c>
      <c r="F2">
        <v>-9</v>
      </c>
      <c r="G2">
        <v>27.6</v>
      </c>
      <c r="H2" t="s">
        <v>31</v>
      </c>
    </row>
    <row r="3" spans="1:8" x14ac:dyDescent="0.3">
      <c r="A3" s="2" t="s">
        <v>5</v>
      </c>
      <c r="B3" s="2">
        <v>1</v>
      </c>
      <c r="C3" s="2" t="s">
        <v>9</v>
      </c>
      <c r="D3" s="2" t="s">
        <v>20</v>
      </c>
      <c r="E3" s="2">
        <v>12</v>
      </c>
      <c r="F3" s="2"/>
      <c r="G3" s="2"/>
      <c r="H3" s="3" t="s">
        <v>12</v>
      </c>
    </row>
    <row r="4" spans="1:8" x14ac:dyDescent="0.3">
      <c r="A4" s="2" t="s">
        <v>6</v>
      </c>
      <c r="B4" s="2">
        <v>1</v>
      </c>
      <c r="C4" s="2" t="s">
        <v>15</v>
      </c>
      <c r="D4" s="2" t="s">
        <v>20</v>
      </c>
      <c r="E4" s="2">
        <v>16</v>
      </c>
      <c r="F4" s="2"/>
      <c r="G4" s="2"/>
      <c r="H4" s="3" t="s">
        <v>11</v>
      </c>
    </row>
    <row r="5" spans="1:8" x14ac:dyDescent="0.3">
      <c r="A5" s="2" t="s">
        <v>7</v>
      </c>
      <c r="B5" s="2">
        <v>1</v>
      </c>
      <c r="C5" s="2" t="s">
        <v>14</v>
      </c>
      <c r="D5" s="2" t="s">
        <v>20</v>
      </c>
      <c r="E5" s="2">
        <v>10</v>
      </c>
      <c r="F5" s="2"/>
      <c r="G5" s="2"/>
      <c r="H5" s="3" t="s">
        <v>13</v>
      </c>
    </row>
    <row r="6" spans="1:8" x14ac:dyDescent="0.3">
      <c r="A6" t="s">
        <v>16</v>
      </c>
      <c r="B6">
        <v>2</v>
      </c>
      <c r="C6" t="s">
        <v>18</v>
      </c>
      <c r="D6" t="s">
        <v>21</v>
      </c>
      <c r="E6">
        <f>4.95*B6</f>
        <v>9.9</v>
      </c>
      <c r="G6">
        <v>24.45</v>
      </c>
      <c r="H6" s="1" t="s">
        <v>19</v>
      </c>
    </row>
    <row r="7" spans="1:8" x14ac:dyDescent="0.3">
      <c r="A7" t="s">
        <v>17</v>
      </c>
      <c r="B7">
        <v>1</v>
      </c>
      <c r="C7" t="s">
        <v>32</v>
      </c>
      <c r="D7" t="s">
        <v>21</v>
      </c>
      <c r="E7">
        <v>7.95</v>
      </c>
      <c r="H7" s="1" t="s">
        <v>33</v>
      </c>
    </row>
    <row r="8" spans="1:8" x14ac:dyDescent="0.3">
      <c r="A8" t="s">
        <v>23</v>
      </c>
      <c r="B8">
        <v>2</v>
      </c>
      <c r="C8" t="s">
        <v>29</v>
      </c>
      <c r="D8" t="s">
        <v>21</v>
      </c>
      <c r="E8">
        <v>2.95</v>
      </c>
      <c r="H8" s="1" t="s">
        <v>22</v>
      </c>
    </row>
    <row r="9" spans="1:8" x14ac:dyDescent="0.3">
      <c r="A9" t="s">
        <v>24</v>
      </c>
      <c r="B9">
        <v>2</v>
      </c>
      <c r="C9" t="s">
        <v>27</v>
      </c>
      <c r="D9" t="s">
        <v>21</v>
      </c>
      <c r="E9">
        <f>22.45*B8</f>
        <v>44.9</v>
      </c>
      <c r="H9" s="1" t="s">
        <v>26</v>
      </c>
    </row>
    <row r="10" spans="1:8" x14ac:dyDescent="0.3">
      <c r="D10" t="s">
        <v>25</v>
      </c>
      <c r="E10" t="str">
        <f>"PCBA= " &amp; SUM(E2,F2,G2) &amp; " USD"</f>
        <v>PCBA= 77.94 USD</v>
      </c>
    </row>
    <row r="11" spans="1:8" x14ac:dyDescent="0.3">
      <c r="E11" t="str">
        <f>"Polulu= " &amp; SUM(E6:E9,G6) &amp; " USD"</f>
        <v>Polulu= 90.15 USD</v>
      </c>
    </row>
    <row r="12" spans="1:8" x14ac:dyDescent="0.3">
      <c r="E12" t="str">
        <f>"Total= " &amp; SUM(E2,(E6:E9),(G2:G9),(F2:F9))*121 &amp; " BDT"</f>
        <v>Total= 20338.89 BDT</v>
      </c>
    </row>
  </sheetData>
  <hyperlinks>
    <hyperlink ref="H4" r:id="rId1" display="https://www.amazon.com/dp/B0C2Z1WNRV?ref=cm_sw_r_apin_dp_GRAB0R80YQJ3M09K9SNG_2&amp;ref_=cm_sw_r_apin_dp_GRAB0R80YQJ3M09K9SNG_2&amp;social_share=cm_sw_r_apin_dp_GRAB0R80YQJ3M09K9SNG_2&amp;starsLeft=1&amp;th=1" xr:uid="{00000000-0004-0000-0000-000000000000}"/>
    <hyperlink ref="H3" r:id="rId2" display="https://www.amazon.com/Spektrum-7-4V-300mAh-LiPo-Battery/dp/B0BMFCN7LD/ref=sr_1_55?dib=eyJ2IjoiMSJ9.wzwfGOav2nVI91ccZl7OYcXuXj5Smi1pyHvz8MnEKTZ9i3wTqEBs8eILT9nwq6ENXuUFfiHC3NR4GzKrWZKNDn2YFT1GOJngdxAhUQVP36ZmWMpASlHSShcEF6om4UYc1A77I5Od4scneMemwc5Q7piO5o904nBnSYPnXp5sllmK90l0Z8qhOSYBcrC36MMKfBvg6xPjo1SzN9_ayTyPKAF-JF8dw3SUcm5AlP098XJCQ6lXvSg-kTyhctbc_YtUyZY4NIhVBm0UHuzP0qV-9KIycp-2UfiQ2qPuzQBWwjYV7ewJW2cHAmD6OjKNtzKrRkvC3EkMomIcEg-z-RU6eF-CKgT1zauTDpi5jNGeb0pEI9UUOUbPUmCmcVStcna8lhLiO7oIKxOVe81o1gWduYlHCpAaxtXdjNHLbujBXSE0IcuG8fXP-dL8K9zxNabL.2IexPEltABSEhd3UQSkn-n87hF9K3wfqKcLG_K9WDeA&amp;dib_tag=se&amp;keywords=2s+battery&amp;qid=1740303914&amp;sr=8-55" xr:uid="{00000000-0004-0000-0000-000001000000}"/>
    <hyperlink ref="H5" r:id="rId3" display="https://www.amazon.com/dp/B09KM213N7/ref=twister_B09KM3HWH6?_encoding=UTF8&amp;th=1" xr:uid="{00000000-0004-0000-0000-000002000000}"/>
    <hyperlink ref="H7" r:id="rId4" xr:uid="{00000000-0004-0000-0000-000003000000}"/>
    <hyperlink ref="H6" r:id="rId5" display="https://www.pololu.com/product/1127" xr:uid="{00000000-0004-0000-0000-000004000000}"/>
    <hyperlink ref="H8" r:id="rId6" display="https://www.pololu.com/product/989" xr:uid="{00000000-0004-0000-0000-000005000000}"/>
    <hyperlink ref="H9" r:id="rId7" display="https://www.pololu.com/product/3061" xr:uid="{786A8743-C1C8-4FC4-9F17-96B3C408DEC1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266F-23EE-4292-9755-102F2A0FE0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Order-1 by ByteBots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Tawhid</dc:creator>
  <cp:lastModifiedBy>Tawhid Alam</cp:lastModifiedBy>
  <dcterms:created xsi:type="dcterms:W3CDTF">2025-03-01T20:29:10Z</dcterms:created>
  <dcterms:modified xsi:type="dcterms:W3CDTF">2025-03-23T08:20:18Z</dcterms:modified>
</cp:coreProperties>
</file>